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a3426acc2b1053c/Documents/SIT/"/>
    </mc:Choice>
  </mc:AlternateContent>
  <xr:revisionPtr revIDLastSave="0" documentId="8_{97F83885-9A9F-4ED8-9614-774C199244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11" i="1"/>
  <c r="L5" i="1"/>
  <c r="L7" i="1" l="1"/>
  <c r="L10" i="1"/>
  <c r="L16" i="1"/>
  <c r="L18" i="1"/>
  <c r="L3" i="1"/>
  <c r="L12" i="1"/>
  <c r="L13" i="1"/>
  <c r="L14" i="1"/>
  <c r="L9" i="1"/>
  <c r="L6" i="1"/>
  <c r="L21" i="1"/>
  <c r="L20" i="1"/>
  <c r="L15" i="1"/>
  <c r="L8" i="1"/>
  <c r="L17" i="1"/>
  <c r="L19" i="1"/>
  <c r="L4" i="1"/>
  <c r="K7" i="1"/>
  <c r="N7" i="1" s="1"/>
  <c r="K10" i="1"/>
  <c r="N10" i="1" s="1"/>
  <c r="K16" i="1"/>
  <c r="N16" i="1" s="1"/>
  <c r="K18" i="1"/>
  <c r="N18" i="1" s="1"/>
  <c r="K3" i="1"/>
  <c r="K12" i="1"/>
  <c r="K13" i="1"/>
  <c r="N13" i="1" s="1"/>
  <c r="K14" i="1"/>
  <c r="N14" i="1" s="1"/>
  <c r="K9" i="1"/>
  <c r="N9" i="1" s="1"/>
  <c r="K6" i="1"/>
  <c r="N6" i="1" s="1"/>
  <c r="K21" i="1"/>
  <c r="N21" i="1" s="1"/>
  <c r="K20" i="1"/>
  <c r="N20" i="1" s="1"/>
  <c r="K15" i="1"/>
  <c r="N15" i="1" s="1"/>
  <c r="K8" i="1"/>
  <c r="N8" i="1" s="1"/>
  <c r="K17" i="1"/>
  <c r="K2" i="1"/>
  <c r="N2" i="1" s="1"/>
  <c r="K19" i="1"/>
  <c r="N19" i="1" s="1"/>
  <c r="K4" i="1"/>
  <c r="N4" i="1" s="1"/>
  <c r="K11" i="1"/>
  <c r="N11" i="1" s="1"/>
  <c r="K5" i="1"/>
  <c r="J7" i="1"/>
  <c r="J10" i="1"/>
  <c r="J16" i="1"/>
  <c r="J18" i="1"/>
  <c r="J3" i="1"/>
  <c r="J12" i="1"/>
  <c r="J13" i="1"/>
  <c r="J14" i="1"/>
  <c r="J9" i="1"/>
  <c r="J6" i="1"/>
  <c r="J21" i="1"/>
  <c r="J20" i="1"/>
  <c r="J15" i="1"/>
  <c r="J8" i="1"/>
  <c r="J17" i="1"/>
  <c r="J2" i="1"/>
  <c r="J19" i="1"/>
  <c r="J4" i="1"/>
  <c r="J11" i="1"/>
  <c r="J5" i="1"/>
  <c r="M5" i="1" l="1"/>
  <c r="N5" i="1"/>
  <c r="N12" i="1"/>
  <c r="M3" i="1"/>
  <c r="N3" i="1"/>
  <c r="N17" i="1"/>
  <c r="M2" i="1"/>
  <c r="M18" i="1"/>
  <c r="M16" i="1"/>
  <c r="M13" i="1"/>
  <c r="M8" i="1"/>
  <c r="M4" i="1"/>
  <c r="M6" i="1"/>
  <c r="M10" i="1"/>
  <c r="M9" i="1"/>
  <c r="M7" i="1"/>
  <c r="M14" i="1"/>
  <c r="M15" i="1"/>
  <c r="M20" i="1"/>
  <c r="M11" i="1"/>
  <c r="M21" i="1"/>
  <c r="M19" i="1"/>
  <c r="M17" i="1"/>
  <c r="M12" i="1"/>
</calcChain>
</file>

<file path=xl/sharedStrings.xml><?xml version="1.0" encoding="utf-8"?>
<sst xmlns="http://schemas.openxmlformats.org/spreadsheetml/2006/main" count="54" uniqueCount="41">
  <si>
    <t>Sr no.</t>
  </si>
  <si>
    <t>Name</t>
  </si>
  <si>
    <t>PRN</t>
  </si>
  <si>
    <t>Maths</t>
  </si>
  <si>
    <t>Chemistry</t>
  </si>
  <si>
    <t>Physics</t>
  </si>
  <si>
    <t>English</t>
  </si>
  <si>
    <t>Hindi</t>
  </si>
  <si>
    <t>Rohit</t>
  </si>
  <si>
    <t>Jasprit</t>
  </si>
  <si>
    <t>Total</t>
  </si>
  <si>
    <t>Percent</t>
  </si>
  <si>
    <t>Result</t>
  </si>
  <si>
    <t>Rahul</t>
  </si>
  <si>
    <t>Virat</t>
  </si>
  <si>
    <t>Abhishek</t>
  </si>
  <si>
    <t>Harshit</t>
  </si>
  <si>
    <t>Shubman</t>
  </si>
  <si>
    <t>Siraj</t>
  </si>
  <si>
    <t>Shami</t>
  </si>
  <si>
    <t>Axar</t>
  </si>
  <si>
    <t>Dhoni</t>
  </si>
  <si>
    <t>Yuvraj</t>
  </si>
  <si>
    <t>Sachin</t>
  </si>
  <si>
    <t>Yashashvi</t>
  </si>
  <si>
    <t>Starc</t>
  </si>
  <si>
    <t>Kane</t>
  </si>
  <si>
    <t>Pat</t>
  </si>
  <si>
    <t>Distinction</t>
  </si>
  <si>
    <t>ABD</t>
  </si>
  <si>
    <t>C</t>
  </si>
  <si>
    <t>Optional</t>
  </si>
  <si>
    <t>A</t>
  </si>
  <si>
    <t>B</t>
  </si>
  <si>
    <t>Samson</t>
  </si>
  <si>
    <t>F</t>
  </si>
  <si>
    <t>S</t>
  </si>
  <si>
    <t>D</t>
  </si>
  <si>
    <t>E</t>
  </si>
  <si>
    <t>Smith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</si>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</sst>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5">
    <xf numFmtId="0" fontId="0" fillId="0" borderId="0" xfId="0"/>
    <xf numFmtId="0" fontId="4" fillId="3" borderId="0" xfId="4"/>
    <xf numFmtId="0" fontId="3" fillId="2" borderId="0" xfId="3"/>
    <xf numFmtId="0" fontId="1" fillId="0" borderId="1" xfId="1"/>
    <xf numFmtId="0" fontId="2" fillId="0" borderId="0" xfId="2"/>
  </cellXfs>
  <cellStyles count="5">
    <cellStyle name="Bad" xfId="4" builtinId="27"/>
    <cellStyle name="Good" xfId="3" builtinId="26"/>
    <cellStyle name="Heading 1" xfId="1" builtinId="16"/>
    <cellStyle name="Heading 4" xfId="2" builtinId="19"/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="130" zoomScaleNormal="130" workbookViewId="0">
      <selection activeCell="Q11" sqref="Q11"/>
    </sheetView>
  </sheetViews>
  <sheetFormatPr defaultRowHeight="14.4" x14ac:dyDescent="0.3"/>
  <cols>
    <col min="1" max="1" width="5.44140625" customWidth="1"/>
    <col min="3" max="3" width="15.109375" customWidth="1"/>
    <col min="4" max="4" width="8.5546875" customWidth="1"/>
    <col min="5" max="5" width="13" customWidth="1"/>
    <col min="6" max="6" width="10.88671875" customWidth="1"/>
    <col min="7" max="7" width="10" customWidth="1"/>
    <col min="8" max="8" width="7.44140625" customWidth="1"/>
    <col min="9" max="9" width="11.6640625" customWidth="1"/>
    <col min="10" max="10" width="7.33203125" customWidth="1"/>
    <col min="11" max="11" width="10.109375" customWidth="1"/>
    <col min="13" max="13" width="14.6640625" customWidth="1"/>
    <col min="14" max="14" width="10.109375" customWidth="1"/>
  </cols>
  <sheetData>
    <row r="1" spans="1:14" ht="20.399999999999999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31</v>
      </c>
      <c r="J1" s="3" t="s">
        <v>10</v>
      </c>
      <c r="K1" s="3" t="s">
        <v>11</v>
      </c>
      <c r="L1" s="3" t="s">
        <v>12</v>
      </c>
      <c r="M1" s="3" t="s">
        <v>28</v>
      </c>
      <c r="N1" s="3" t="s">
        <v>40</v>
      </c>
    </row>
    <row r="2" spans="1:14" ht="15" thickTop="1" x14ac:dyDescent="0.3">
      <c r="A2" s="4">
        <v>17</v>
      </c>
      <c r="B2" s="4" t="s">
        <v>22</v>
      </c>
      <c r="C2" s="4">
        <v>2507052017</v>
      </c>
      <c r="D2">
        <v>87</v>
      </c>
      <c r="E2">
        <v>89</v>
      </c>
      <c r="F2">
        <v>85</v>
      </c>
      <c r="G2">
        <v>88</v>
      </c>
      <c r="H2">
        <v>96</v>
      </c>
      <c r="I2" t="s">
        <v>32</v>
      </c>
      <c r="J2">
        <f t="shared" ref="J2:J21" si="0">SUM(D2:I2)</f>
        <v>445</v>
      </c>
      <c r="K2">
        <f t="shared" ref="K2:K21" si="1">AVERAGE(D2:I2)</f>
        <v>89</v>
      </c>
      <c r="L2" t="str">
        <f t="shared" ref="L2:L21" si="2">IF(AND(D2&gt;=50, E2&gt;=50, F2&gt;=50, G2&gt;=50, H2&gt;=50,I2&gt;=50, OR(I2="A",I2="B",I2="C")), "Pass", "Fail")</f>
        <v>Pass</v>
      </c>
      <c r="M2" t="str">
        <f t="shared" ref="M2:M21" si="3">IF(AND(L2="Pass",K2&gt;=75),"Yes","No")</f>
        <v>Yes</v>
      </c>
      <c r="N2" t="str">
        <f t="shared" ref="N2:N21" si="4">IF(AND(K2&gt;=60,K2&lt;90,L2="Pass"),"1","")</f>
        <v>1</v>
      </c>
    </row>
    <row r="3" spans="1:14" x14ac:dyDescent="0.3">
      <c r="A3" s="4">
        <v>6</v>
      </c>
      <c r="B3" s="4" t="s">
        <v>16</v>
      </c>
      <c r="C3" s="4">
        <v>2507052006</v>
      </c>
      <c r="D3">
        <v>89</v>
      </c>
      <c r="E3">
        <v>89</v>
      </c>
      <c r="F3">
        <v>96</v>
      </c>
      <c r="G3">
        <v>77</v>
      </c>
      <c r="H3">
        <v>78</v>
      </c>
      <c r="I3" t="s">
        <v>32</v>
      </c>
      <c r="J3">
        <f t="shared" si="0"/>
        <v>429</v>
      </c>
      <c r="K3">
        <f t="shared" si="1"/>
        <v>85.8</v>
      </c>
      <c r="L3" t="str">
        <f t="shared" si="2"/>
        <v>Pass</v>
      </c>
      <c r="M3" t="str">
        <f t="shared" si="3"/>
        <v>Yes</v>
      </c>
      <c r="N3" t="str">
        <f t="shared" si="4"/>
        <v>1</v>
      </c>
    </row>
    <row r="4" spans="1:14" x14ac:dyDescent="0.3">
      <c r="A4" s="4">
        <v>19</v>
      </c>
      <c r="B4" s="4" t="s">
        <v>39</v>
      </c>
      <c r="C4" s="4">
        <v>2507052019</v>
      </c>
      <c r="D4">
        <v>78</v>
      </c>
      <c r="E4">
        <v>89</v>
      </c>
      <c r="F4">
        <v>69</v>
      </c>
      <c r="G4">
        <v>90</v>
      </c>
      <c r="H4">
        <v>85</v>
      </c>
      <c r="I4" s="2" t="s">
        <v>30</v>
      </c>
      <c r="J4">
        <f t="shared" si="0"/>
        <v>411</v>
      </c>
      <c r="K4">
        <f t="shared" si="1"/>
        <v>82.2</v>
      </c>
      <c r="L4" t="str">
        <f t="shared" si="2"/>
        <v>Pass</v>
      </c>
      <c r="M4" t="str">
        <f t="shared" si="3"/>
        <v>Yes</v>
      </c>
      <c r="N4" t="str">
        <f t="shared" si="4"/>
        <v>1</v>
      </c>
    </row>
    <row r="5" spans="1:14" x14ac:dyDescent="0.3">
      <c r="A5" s="4">
        <v>1</v>
      </c>
      <c r="B5" s="4" t="s">
        <v>13</v>
      </c>
      <c r="C5" s="4">
        <v>2507052001</v>
      </c>
      <c r="D5">
        <v>96</v>
      </c>
      <c r="E5" s="2">
        <v>75</v>
      </c>
      <c r="F5">
        <v>82</v>
      </c>
      <c r="G5">
        <v>72</v>
      </c>
      <c r="H5">
        <v>85</v>
      </c>
      <c r="I5" t="s">
        <v>32</v>
      </c>
      <c r="J5">
        <f t="shared" si="0"/>
        <v>410</v>
      </c>
      <c r="K5">
        <f t="shared" si="1"/>
        <v>82</v>
      </c>
      <c r="L5" t="str">
        <f t="shared" si="2"/>
        <v>Pass</v>
      </c>
      <c r="M5" t="str">
        <f t="shared" si="3"/>
        <v>Yes</v>
      </c>
      <c r="N5" t="str">
        <f t="shared" si="4"/>
        <v>1</v>
      </c>
    </row>
    <row r="6" spans="1:14" x14ac:dyDescent="0.3">
      <c r="A6" s="4">
        <v>11</v>
      </c>
      <c r="B6" s="4" t="s">
        <v>29</v>
      </c>
      <c r="C6" s="4">
        <v>2507052011</v>
      </c>
      <c r="D6">
        <v>93</v>
      </c>
      <c r="E6">
        <v>66</v>
      </c>
      <c r="F6">
        <v>85</v>
      </c>
      <c r="G6">
        <v>82</v>
      </c>
      <c r="H6">
        <v>78</v>
      </c>
      <c r="I6" t="s">
        <v>38</v>
      </c>
      <c r="J6">
        <f t="shared" si="0"/>
        <v>404</v>
      </c>
      <c r="K6">
        <f t="shared" si="1"/>
        <v>80.8</v>
      </c>
      <c r="L6" t="str">
        <f t="shared" si="2"/>
        <v>Fail</v>
      </c>
      <c r="M6" t="str">
        <f t="shared" si="3"/>
        <v>No</v>
      </c>
      <c r="N6" t="str">
        <f t="shared" si="4"/>
        <v/>
      </c>
    </row>
    <row r="7" spans="1:14" x14ac:dyDescent="0.3">
      <c r="A7" s="4">
        <v>2</v>
      </c>
      <c r="B7" s="4" t="s">
        <v>14</v>
      </c>
      <c r="C7" s="4">
        <v>2507052002</v>
      </c>
      <c r="D7">
        <v>78</v>
      </c>
      <c r="E7">
        <v>78</v>
      </c>
      <c r="F7">
        <v>78</v>
      </c>
      <c r="G7">
        <v>73</v>
      </c>
      <c r="H7">
        <v>78</v>
      </c>
      <c r="I7" t="s">
        <v>33</v>
      </c>
      <c r="J7">
        <f t="shared" si="0"/>
        <v>385</v>
      </c>
      <c r="K7">
        <f t="shared" si="1"/>
        <v>77</v>
      </c>
      <c r="L7" t="str">
        <f t="shared" si="2"/>
        <v>Pass</v>
      </c>
      <c r="M7" t="str">
        <f t="shared" si="3"/>
        <v>Yes</v>
      </c>
      <c r="N7" t="str">
        <f t="shared" si="4"/>
        <v>1</v>
      </c>
    </row>
    <row r="8" spans="1:14" x14ac:dyDescent="0.3">
      <c r="A8" s="4">
        <v>15</v>
      </c>
      <c r="B8" s="4" t="s">
        <v>27</v>
      </c>
      <c r="C8" s="4">
        <v>2507052015</v>
      </c>
      <c r="D8">
        <v>78</v>
      </c>
      <c r="E8">
        <v>56</v>
      </c>
      <c r="F8">
        <v>78</v>
      </c>
      <c r="G8">
        <v>86</v>
      </c>
      <c r="H8">
        <v>85</v>
      </c>
      <c r="I8" t="s">
        <v>33</v>
      </c>
      <c r="J8">
        <f t="shared" si="0"/>
        <v>383</v>
      </c>
      <c r="K8">
        <f t="shared" si="1"/>
        <v>76.599999999999994</v>
      </c>
      <c r="L8" t="str">
        <f t="shared" si="2"/>
        <v>Pass</v>
      </c>
      <c r="M8" t="str">
        <f t="shared" si="3"/>
        <v>Yes</v>
      </c>
      <c r="N8" t="str">
        <f t="shared" si="4"/>
        <v>1</v>
      </c>
    </row>
    <row r="9" spans="1:14" x14ac:dyDescent="0.3">
      <c r="A9" s="4">
        <v>10</v>
      </c>
      <c r="B9" s="4" t="s">
        <v>20</v>
      </c>
      <c r="C9" s="4">
        <v>2507052010</v>
      </c>
      <c r="D9">
        <v>93</v>
      </c>
      <c r="E9">
        <v>39</v>
      </c>
      <c r="F9">
        <v>85</v>
      </c>
      <c r="G9">
        <v>81</v>
      </c>
      <c r="H9">
        <v>78</v>
      </c>
      <c r="I9" t="s">
        <v>37</v>
      </c>
      <c r="J9">
        <f t="shared" si="0"/>
        <v>376</v>
      </c>
      <c r="K9">
        <f t="shared" si="1"/>
        <v>75.2</v>
      </c>
      <c r="L9" t="str">
        <f t="shared" si="2"/>
        <v>Fail</v>
      </c>
      <c r="M9" t="str">
        <f t="shared" si="3"/>
        <v>No</v>
      </c>
      <c r="N9" t="str">
        <f t="shared" si="4"/>
        <v/>
      </c>
    </row>
    <row r="10" spans="1:14" x14ac:dyDescent="0.3">
      <c r="A10" s="4">
        <v>3</v>
      </c>
      <c r="B10" s="4" t="s">
        <v>8</v>
      </c>
      <c r="C10" s="4">
        <v>2507052003</v>
      </c>
      <c r="D10">
        <v>78</v>
      </c>
      <c r="E10">
        <v>93</v>
      </c>
      <c r="F10">
        <v>45</v>
      </c>
      <c r="G10">
        <v>74</v>
      </c>
      <c r="H10">
        <v>85</v>
      </c>
      <c r="I10" t="s">
        <v>35</v>
      </c>
      <c r="J10">
        <f t="shared" si="0"/>
        <v>375</v>
      </c>
      <c r="K10">
        <f t="shared" si="1"/>
        <v>75</v>
      </c>
      <c r="L10" s="1" t="str">
        <f t="shared" si="2"/>
        <v>Fail</v>
      </c>
      <c r="M10" t="str">
        <f t="shared" si="3"/>
        <v>No</v>
      </c>
      <c r="N10" t="str">
        <f t="shared" si="4"/>
        <v/>
      </c>
    </row>
    <row r="11" spans="1:14" x14ac:dyDescent="0.3">
      <c r="A11" s="4">
        <v>20</v>
      </c>
      <c r="B11" s="4" t="s">
        <v>34</v>
      </c>
      <c r="C11" s="4">
        <v>2507052020</v>
      </c>
      <c r="D11">
        <v>78</v>
      </c>
      <c r="E11">
        <v>56</v>
      </c>
      <c r="F11">
        <v>69</v>
      </c>
      <c r="G11">
        <v>91</v>
      </c>
      <c r="H11">
        <v>75</v>
      </c>
      <c r="I11" t="s">
        <v>36</v>
      </c>
      <c r="J11">
        <f t="shared" si="0"/>
        <v>369</v>
      </c>
      <c r="K11">
        <f t="shared" si="1"/>
        <v>73.8</v>
      </c>
      <c r="L11" t="str">
        <f t="shared" si="2"/>
        <v>Fail</v>
      </c>
      <c r="M11" t="str">
        <f t="shared" si="3"/>
        <v>No</v>
      </c>
      <c r="N11" t="str">
        <f t="shared" si="4"/>
        <v/>
      </c>
    </row>
    <row r="12" spans="1:14" x14ac:dyDescent="0.3">
      <c r="A12" s="4">
        <v>7</v>
      </c>
      <c r="B12" s="4" t="s">
        <v>17</v>
      </c>
      <c r="C12" s="4">
        <v>2507052007</v>
      </c>
      <c r="D12">
        <v>89</v>
      </c>
      <c r="E12">
        <v>56</v>
      </c>
      <c r="F12">
        <v>78</v>
      </c>
      <c r="G12">
        <v>78</v>
      </c>
      <c r="H12">
        <v>58</v>
      </c>
      <c r="I12" t="s">
        <v>33</v>
      </c>
      <c r="J12">
        <f t="shared" si="0"/>
        <v>359</v>
      </c>
      <c r="K12">
        <f t="shared" si="1"/>
        <v>71.8</v>
      </c>
      <c r="L12" t="str">
        <f t="shared" si="2"/>
        <v>Pass</v>
      </c>
      <c r="M12" t="str">
        <f t="shared" si="3"/>
        <v>No</v>
      </c>
      <c r="N12" t="str">
        <f t="shared" si="4"/>
        <v>1</v>
      </c>
    </row>
    <row r="13" spans="1:14" x14ac:dyDescent="0.3">
      <c r="A13" s="4">
        <v>8</v>
      </c>
      <c r="B13" s="4" t="s">
        <v>18</v>
      </c>
      <c r="C13" s="4">
        <v>2507052008</v>
      </c>
      <c r="D13">
        <v>78</v>
      </c>
      <c r="E13">
        <v>45</v>
      </c>
      <c r="F13">
        <v>78</v>
      </c>
      <c r="G13">
        <v>79</v>
      </c>
      <c r="H13">
        <v>78</v>
      </c>
      <c r="I13" t="s">
        <v>30</v>
      </c>
      <c r="J13">
        <f t="shared" si="0"/>
        <v>358</v>
      </c>
      <c r="K13">
        <f t="shared" si="1"/>
        <v>71.599999999999994</v>
      </c>
      <c r="L13" t="str">
        <f t="shared" si="2"/>
        <v>Fail</v>
      </c>
      <c r="M13" t="str">
        <f t="shared" si="3"/>
        <v>No</v>
      </c>
      <c r="N13" t="str">
        <f t="shared" si="4"/>
        <v/>
      </c>
    </row>
    <row r="14" spans="1:14" x14ac:dyDescent="0.3">
      <c r="A14" s="4">
        <v>9</v>
      </c>
      <c r="B14" s="4" t="s">
        <v>19</v>
      </c>
      <c r="C14" s="4">
        <v>2507052009</v>
      </c>
      <c r="D14">
        <v>45</v>
      </c>
      <c r="E14">
        <v>78</v>
      </c>
      <c r="F14">
        <v>75</v>
      </c>
      <c r="G14">
        <v>80</v>
      </c>
      <c r="H14">
        <v>78</v>
      </c>
      <c r="I14" t="s">
        <v>36</v>
      </c>
      <c r="J14">
        <f t="shared" si="0"/>
        <v>356</v>
      </c>
      <c r="K14">
        <f t="shared" si="1"/>
        <v>71.2</v>
      </c>
      <c r="L14" t="str">
        <f t="shared" si="2"/>
        <v>Fail</v>
      </c>
      <c r="M14" t="str">
        <f t="shared" si="3"/>
        <v>No</v>
      </c>
      <c r="N14" t="str">
        <f t="shared" si="4"/>
        <v/>
      </c>
    </row>
    <row r="15" spans="1:14" x14ac:dyDescent="0.3">
      <c r="A15" s="4">
        <v>14</v>
      </c>
      <c r="B15" s="4" t="s">
        <v>26</v>
      </c>
      <c r="C15" s="4">
        <v>2507052014</v>
      </c>
      <c r="D15">
        <v>45</v>
      </c>
      <c r="E15">
        <v>95</v>
      </c>
      <c r="F15">
        <v>28</v>
      </c>
      <c r="G15">
        <v>85</v>
      </c>
      <c r="H15">
        <v>78</v>
      </c>
      <c r="I15" t="s">
        <v>36</v>
      </c>
      <c r="J15">
        <f t="shared" si="0"/>
        <v>331</v>
      </c>
      <c r="K15">
        <f t="shared" si="1"/>
        <v>66.2</v>
      </c>
      <c r="L15" t="str">
        <f t="shared" si="2"/>
        <v>Fail</v>
      </c>
      <c r="M15" t="str">
        <f t="shared" si="3"/>
        <v>No</v>
      </c>
      <c r="N15" t="str">
        <f t="shared" si="4"/>
        <v/>
      </c>
    </row>
    <row r="16" spans="1:14" x14ac:dyDescent="0.3">
      <c r="A16" s="4">
        <v>4</v>
      </c>
      <c r="B16" s="4" t="s">
        <v>9</v>
      </c>
      <c r="C16" s="4">
        <v>2507052004</v>
      </c>
      <c r="D16">
        <v>56</v>
      </c>
      <c r="E16">
        <v>39</v>
      </c>
      <c r="F16">
        <v>78</v>
      </c>
      <c r="G16">
        <v>75</v>
      </c>
      <c r="H16">
        <v>78</v>
      </c>
      <c r="I16" t="s">
        <v>33</v>
      </c>
      <c r="J16">
        <f t="shared" si="0"/>
        <v>326</v>
      </c>
      <c r="K16">
        <f t="shared" si="1"/>
        <v>65.2</v>
      </c>
      <c r="L16" t="str">
        <f t="shared" si="2"/>
        <v>Fail</v>
      </c>
      <c r="M16" t="str">
        <f t="shared" si="3"/>
        <v>No</v>
      </c>
      <c r="N16" t="str">
        <f t="shared" si="4"/>
        <v/>
      </c>
    </row>
    <row r="17" spans="1:14" x14ac:dyDescent="0.3">
      <c r="A17" s="4">
        <v>16</v>
      </c>
      <c r="B17" s="4" t="s">
        <v>21</v>
      </c>
      <c r="C17" s="4">
        <v>2507052016</v>
      </c>
      <c r="D17">
        <v>78</v>
      </c>
      <c r="E17">
        <v>56</v>
      </c>
      <c r="F17">
        <v>45</v>
      </c>
      <c r="G17">
        <v>87</v>
      </c>
      <c r="H17">
        <v>58</v>
      </c>
      <c r="I17" t="s">
        <v>30</v>
      </c>
      <c r="J17">
        <f t="shared" si="0"/>
        <v>324</v>
      </c>
      <c r="K17">
        <f t="shared" si="1"/>
        <v>64.8</v>
      </c>
      <c r="L17" t="str">
        <f t="shared" si="2"/>
        <v>Fail</v>
      </c>
      <c r="M17" t="str">
        <f t="shared" si="3"/>
        <v>No</v>
      </c>
      <c r="N17" t="str">
        <f t="shared" si="4"/>
        <v/>
      </c>
    </row>
    <row r="18" spans="1:14" x14ac:dyDescent="0.3">
      <c r="A18" s="4">
        <v>5</v>
      </c>
      <c r="B18" s="4" t="s">
        <v>15</v>
      </c>
      <c r="C18" s="4">
        <v>2507052005</v>
      </c>
      <c r="D18">
        <v>57</v>
      </c>
      <c r="E18">
        <v>78</v>
      </c>
      <c r="F18">
        <v>54</v>
      </c>
      <c r="G18">
        <v>76</v>
      </c>
      <c r="H18">
        <v>58</v>
      </c>
      <c r="I18" t="s">
        <v>30</v>
      </c>
      <c r="J18">
        <f t="shared" si="0"/>
        <v>323</v>
      </c>
      <c r="K18">
        <f t="shared" si="1"/>
        <v>64.599999999999994</v>
      </c>
      <c r="L18" t="str">
        <f t="shared" si="2"/>
        <v>Pass</v>
      </c>
      <c r="M18" t="str">
        <f t="shared" si="3"/>
        <v>No</v>
      </c>
      <c r="N18" t="str">
        <f t="shared" si="4"/>
        <v>1</v>
      </c>
    </row>
    <row r="19" spans="1:14" x14ac:dyDescent="0.3">
      <c r="A19" s="4">
        <v>18</v>
      </c>
      <c r="B19" s="4" t="s">
        <v>23</v>
      </c>
      <c r="C19" s="4">
        <v>2507052018</v>
      </c>
      <c r="D19">
        <v>45</v>
      </c>
      <c r="E19">
        <v>56</v>
      </c>
      <c r="F19">
        <v>82</v>
      </c>
      <c r="G19">
        <v>89</v>
      </c>
      <c r="H19">
        <v>36</v>
      </c>
      <c r="I19" t="s">
        <v>33</v>
      </c>
      <c r="J19">
        <f t="shared" si="0"/>
        <v>308</v>
      </c>
      <c r="K19">
        <f t="shared" si="1"/>
        <v>61.6</v>
      </c>
      <c r="L19" t="str">
        <f t="shared" si="2"/>
        <v>Fail</v>
      </c>
      <c r="M19" t="str">
        <f t="shared" si="3"/>
        <v>No</v>
      </c>
      <c r="N19" t="str">
        <f t="shared" si="4"/>
        <v/>
      </c>
    </row>
    <row r="20" spans="1:14" x14ac:dyDescent="0.3">
      <c r="A20" s="4">
        <v>13</v>
      </c>
      <c r="B20" s="4" t="s">
        <v>25</v>
      </c>
      <c r="C20" s="4">
        <v>2507052013</v>
      </c>
      <c r="D20">
        <v>93</v>
      </c>
      <c r="E20">
        <v>56</v>
      </c>
      <c r="F20">
        <v>45</v>
      </c>
      <c r="G20">
        <v>84</v>
      </c>
      <c r="H20">
        <v>28</v>
      </c>
      <c r="I20" t="s">
        <v>33</v>
      </c>
      <c r="J20">
        <f t="shared" si="0"/>
        <v>306</v>
      </c>
      <c r="K20">
        <f t="shared" si="1"/>
        <v>61.2</v>
      </c>
      <c r="L20" t="str">
        <f t="shared" si="2"/>
        <v>Fail</v>
      </c>
      <c r="M20" t="str">
        <f t="shared" si="3"/>
        <v>No</v>
      </c>
      <c r="N20" t="str">
        <f t="shared" si="4"/>
        <v/>
      </c>
    </row>
    <row r="21" spans="1:14" x14ac:dyDescent="0.3">
      <c r="A21" s="4">
        <v>12</v>
      </c>
      <c r="B21" s="4" t="s">
        <v>24</v>
      </c>
      <c r="C21" s="4">
        <v>2507052012</v>
      </c>
      <c r="D21">
        <v>39</v>
      </c>
      <c r="E21">
        <v>45</v>
      </c>
      <c r="F21">
        <v>28</v>
      </c>
      <c r="G21">
        <v>83</v>
      </c>
      <c r="H21">
        <v>78</v>
      </c>
      <c r="I21" t="s">
        <v>32</v>
      </c>
      <c r="J21">
        <f t="shared" si="0"/>
        <v>273</v>
      </c>
      <c r="K21">
        <f t="shared" si="1"/>
        <v>54.6</v>
      </c>
      <c r="L21" t="str">
        <f t="shared" si="2"/>
        <v>Fail</v>
      </c>
      <c r="M21" t="str">
        <f t="shared" si="3"/>
        <v>No</v>
      </c>
      <c r="N21" t="str">
        <f t="shared" si="4"/>
        <v/>
      </c>
    </row>
  </sheetData>
  <autoFilter ref="A1:M21" xr:uid="{00000000-0009-0000-0000-000000000000}">
    <sortState xmlns:xlrd2="http://schemas.microsoft.com/office/spreadsheetml/2017/richdata2" ref="A2:M21">
      <sortCondition descending="1" ref="K1:K21"/>
    </sortState>
  </autoFilter>
  <sortState xmlns:xlrd2="http://schemas.microsoft.com/office/spreadsheetml/2017/richdata2" ref="A2:N21">
    <sortCondition descending="1" ref="K2:K21"/>
  </sortState>
  <conditionalFormatting sqref="D2:F21">
    <cfRule type="cellIs" dxfId="22" priority="31" operator="lessThan">
      <formula>75</formula>
    </cfRule>
  </conditionalFormatting>
  <conditionalFormatting sqref="D2:H21">
    <cfRule type="cellIs" dxfId="21" priority="27" operator="greaterThan">
      <formula>75</formula>
    </cfRule>
  </conditionalFormatting>
  <conditionalFormatting sqref="G2:G5">
    <cfRule type="cellIs" dxfId="20" priority="28" operator="lessThan">
      <formula>75</formula>
    </cfRule>
  </conditionalFormatting>
  <conditionalFormatting sqref="G2:G21">
    <cfRule type="cellIs" dxfId="19" priority="30" operator="greaterThan">
      <formula>75</formula>
    </cfRule>
  </conditionalFormatting>
  <conditionalFormatting sqref="H2:H21">
    <cfRule type="cellIs" dxfId="18" priority="26" operator="lessThan">
      <formula>75</formula>
    </cfRule>
  </conditionalFormatting>
  <conditionalFormatting sqref="I2:I21">
    <cfRule type="cellIs" dxfId="17" priority="20" operator="between">
      <formula>"D"</formula>
      <formula>"Z"</formula>
    </cfRule>
    <cfRule type="cellIs" dxfId="16" priority="21" operator="between">
      <formula>"D"</formula>
      <formula>"Z"</formula>
    </cfRule>
    <cfRule type="containsText" dxfId="15" priority="22" operator="containsText" text="C">
      <formula>NOT(ISERROR(SEARCH("C",I2)))</formula>
    </cfRule>
    <cfRule type="containsText" dxfId="14" priority="23" operator="containsText" text="B">
      <formula>NOT(ISERROR(SEARCH("B",I2)))</formula>
    </cfRule>
    <cfRule type="containsText" dxfId="13" priority="24" operator="containsText" text="B">
      <formula>NOT(ISERROR(SEARCH("B",I2)))</formula>
    </cfRule>
    <cfRule type="containsText" dxfId="12" priority="25" operator="containsText" text="A">
      <formula>NOT(ISERROR(SEARCH("A",I2)))</formula>
    </cfRule>
  </conditionalFormatting>
  <conditionalFormatting sqref="J2:J21">
    <cfRule type="cellIs" dxfId="11" priority="17" operator="lessThan">
      <formula>359</formula>
    </cfRule>
    <cfRule type="cellIs" dxfId="10" priority="18" operator="greaterThan">
      <formula>350</formula>
    </cfRule>
    <cfRule type="cellIs" dxfId="9" priority="19" operator="greaterThan">
      <formula>300</formula>
    </cfRule>
  </conditionalFormatting>
  <conditionalFormatting sqref="K2:K21">
    <cfRule type="cellIs" dxfId="8" priority="14" operator="greaterThan">
      <formula>71.8</formula>
    </cfRule>
    <cfRule type="cellIs" dxfId="7" priority="15" operator="lessThan">
      <formula>72</formula>
    </cfRule>
    <cfRule type="cellIs" dxfId="6" priority="16" operator="greaterThan">
      <formula>72</formula>
    </cfRule>
  </conditionalFormatting>
  <conditionalFormatting sqref="L2:L21">
    <cfRule type="containsText" dxfId="5" priority="40" operator="containsText" text="Pass">
      <formula>NOT(ISERROR(SEARCH("Pass",L2)))</formula>
    </cfRule>
  </conditionalFormatting>
  <conditionalFormatting sqref="L5:L21">
    <cfRule type="containsText" dxfId="4" priority="39" operator="containsText" text="Fail">
      <formula>NOT(ISERROR(SEARCH("Fail",L5)))</formula>
    </cfRule>
  </conditionalFormatting>
  <conditionalFormatting sqref="M2:M21">
    <cfRule type="containsText" dxfId="3" priority="38" operator="containsText" text="Yes">
      <formula>NOT(ISERROR(SEARCH("Yes",M2)))</formula>
    </cfRule>
  </conditionalFormatting>
  <conditionalFormatting sqref="M4:M21">
    <cfRule type="containsText" dxfId="2" priority="37" operator="containsText" text="No">
      <formula>NOT(ISERROR(SEARCH("No",M4)))</formula>
    </cfRule>
  </conditionalFormatting>
  <conditionalFormatting sqref="N2:N21">
    <cfRule type="cellIs" dxfId="1" priority="1" operator="equal">
      <formula>1</formula>
    </cfRule>
    <cfRule type="cellIs" dxfId="0" priority="2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Om Mahajan</cp:lastModifiedBy>
  <dcterms:created xsi:type="dcterms:W3CDTF">2025-10-04T06:50:24Z</dcterms:created>
  <dcterms:modified xsi:type="dcterms:W3CDTF">2025-11-16T11:39:33Z</dcterms:modified>
</cp:coreProperties>
</file>